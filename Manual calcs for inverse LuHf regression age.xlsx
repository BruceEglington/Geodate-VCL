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D13\GeoDate-VCL\"/>
    </mc:Choice>
  </mc:AlternateContent>
  <xr:revisionPtr revIDLastSave="0" documentId="13_ncr:1_{1E839E54-4F57-4C6F-BE87-0EC9E8206889}" xr6:coauthVersionLast="47" xr6:coauthVersionMax="47" xr10:uidLastSave="{00000000-0000-0000-0000-000000000000}"/>
  <bookViews>
    <workbookView xWindow="-98" yWindow="-98" windowWidth="21795" windowHeight="12975" xr2:uid="{9BF83C49-F0BB-40C5-9DF4-F0E217751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8" i="1"/>
  <c r="C19" i="1"/>
  <c r="B8" i="1"/>
  <c r="D6" i="1"/>
  <c r="F3" i="1"/>
  <c r="F12" i="1" s="1"/>
  <c r="H12" i="1" s="1"/>
  <c r="F2" i="1"/>
  <c r="B6" i="1"/>
  <c r="F10" i="1" l="1"/>
  <c r="H10" i="1" s="1"/>
  <c r="F6" i="1"/>
  <c r="H6" i="1" s="1"/>
  <c r="K12" i="1" s="1"/>
  <c r="K10" i="1" l="1"/>
</calcChain>
</file>

<file path=xl/sharedStrings.xml><?xml version="1.0" encoding="utf-8"?>
<sst xmlns="http://schemas.openxmlformats.org/spreadsheetml/2006/main" count="13" uniqueCount="10">
  <si>
    <t>x = (y-c)/m</t>
  </si>
  <si>
    <t>y</t>
  </si>
  <si>
    <t>c</t>
  </si>
  <si>
    <t>m</t>
  </si>
  <si>
    <t>line x intercept</t>
  </si>
  <si>
    <t>derived age</t>
  </si>
  <si>
    <t>envelope x intercept upper</t>
  </si>
  <si>
    <t>envelope x intercept lower</t>
  </si>
  <si>
    <t>95% conf</t>
  </si>
  <si>
    <t>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</si>
</sst>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85F3-AC80-414E-A0E8-5B7F7D5442C5}">
  <dimension ref="A1:L19"/>
  <sheetViews>
    <sheetView tabSelected="1" workbookViewId="0">
      <selection activeCell="C18" sqref="C18"/>
    </sheetView>
  </sheetViews>
  <sheetFormatPr defaultRowHeight="14.25" x14ac:dyDescent="0.45"/>
  <cols>
    <col min="1" max="1" width="18.3984375" customWidth="1"/>
    <col min="2" max="3" width="12.33203125" bestFit="1" customWidth="1"/>
    <col min="4" max="4" width="11.73046875" bestFit="1" customWidth="1"/>
  </cols>
  <sheetData>
    <row r="1" spans="1:12" x14ac:dyDescent="0.45">
      <c r="A1" t="s">
        <v>0</v>
      </c>
    </row>
    <row r="2" spans="1:12" x14ac:dyDescent="0.45">
      <c r="A2" t="s">
        <v>1</v>
      </c>
      <c r="B2">
        <v>0</v>
      </c>
      <c r="F2">
        <f>B2</f>
        <v>0</v>
      </c>
    </row>
    <row r="3" spans="1:12" x14ac:dyDescent="0.45">
      <c r="A3" t="s">
        <v>2</v>
      </c>
      <c r="B3">
        <v>3.564667</v>
      </c>
      <c r="C3">
        <v>6.7289999999999997E-3</v>
      </c>
      <c r="F3">
        <f>B3</f>
        <v>3.564667</v>
      </c>
    </row>
    <row r="4" spans="1:12" x14ac:dyDescent="0.45">
      <c r="A4" t="s">
        <v>3</v>
      </c>
      <c r="B4">
        <v>-7.8297579699999995E-2</v>
      </c>
      <c r="C4">
        <v>1.2829492999999999E-3</v>
      </c>
    </row>
    <row r="6" spans="1:12" x14ac:dyDescent="0.45">
      <c r="A6" t="s">
        <v>4</v>
      </c>
      <c r="B6">
        <f>(B2-B3)/B4</f>
        <v>45.527167169894021</v>
      </c>
      <c r="D6">
        <f>(LN(1+(-1*B4/B3))/0.00000000001867)/1000000</f>
        <v>1163.7468544206811</v>
      </c>
      <c r="F6">
        <f>(F$2-F$3)/(B6-0)</f>
        <v>-7.8297579699999995E-2</v>
      </c>
      <c r="H6" s="1">
        <f>(LN(1+(-1*F6/F$3))/0.00000000001867)/1000000</f>
        <v>1163.7468544206811</v>
      </c>
      <c r="I6" t="s">
        <v>5</v>
      </c>
    </row>
    <row r="8" spans="1:12" x14ac:dyDescent="0.45">
      <c r="B8">
        <f>(LN(1+(-1*B3/B6))/0.00000000001867)/1000000</f>
        <v>-4367.052066273116</v>
      </c>
    </row>
    <row r="10" spans="1:12" x14ac:dyDescent="0.45">
      <c r="A10" t="s">
        <v>6</v>
      </c>
      <c r="B10">
        <v>47</v>
      </c>
      <c r="F10">
        <f>(F$2-F$3)/(B10-0)</f>
        <v>-7.584397872340426E-2</v>
      </c>
      <c r="H10" s="1">
        <f>(LN(1+(-1*F10/F$3))/0.00000000001867)/1000000</f>
        <v>1127.6598391983002</v>
      </c>
      <c r="I10" t="s">
        <v>5</v>
      </c>
      <c r="K10" s="1">
        <f>H10-H$6</f>
        <v>-36.087015222380842</v>
      </c>
      <c r="L10" t="s">
        <v>8</v>
      </c>
    </row>
    <row r="12" spans="1:12" x14ac:dyDescent="0.45">
      <c r="A12" t="s">
        <v>7</v>
      </c>
      <c r="B12">
        <v>45</v>
      </c>
      <c r="F12">
        <f>(F$2-F$3)/(B12-0)</f>
        <v>-7.9214822222222217E-2</v>
      </c>
      <c r="H12" s="1">
        <f>(LN(1+(-1*F12/F$3))/0.00000000001867)/1000000</f>
        <v>1177.2312115037585</v>
      </c>
      <c r="I12" t="s">
        <v>5</v>
      </c>
      <c r="K12" s="1">
        <f>H12-H6</f>
        <v>13.484357083077384</v>
      </c>
      <c r="L12" t="s">
        <v>8</v>
      </c>
    </row>
    <row r="17" spans="1:3" x14ac:dyDescent="0.45">
      <c r="A17" t="s">
        <v>9</v>
      </c>
      <c r="C17">
        <f>C3*C3+C4*C4*B6*(B6-2*3.12949)</f>
        <v>2.9878742786579194E-3</v>
      </c>
    </row>
    <row r="18" spans="1:3" x14ac:dyDescent="0.45">
      <c r="C18">
        <f>C3*C3+C4*C4*B6</f>
        <v>1.2021528728510522E-4</v>
      </c>
    </row>
    <row r="19" spans="1:3" x14ac:dyDescent="0.45">
      <c r="C19">
        <f>B$6-2*3.129349</f>
        <v>39.268469169894018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Bruce Eglington</cp:lastModifiedBy>
  <dcterms:created xsi:type="dcterms:W3CDTF">2025-12-12T16:38:25Z</dcterms:created>
  <dcterms:modified xsi:type="dcterms:W3CDTF">2025-12-14T00:22:22Z</dcterms:modified>
</cp:coreProperties>
</file>